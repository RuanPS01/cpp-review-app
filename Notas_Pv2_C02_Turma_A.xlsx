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155" windowWidth="21600" windowHeight="11385" tabRatio="600" firstSheet="0" activeTab="0" autoFilterDateGrouping="1"/>
  </bookViews>
  <sheets>
    <sheet name="Planilha1" sheetId="1" state="visible" r:id="rId1"/>
  </sheets>
  <definedNames>
    <definedName name="_xlnm._FilterDatabase" localSheetId="0" hidden="1">'Planilha1'!$A$2:$H$30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Segoe UI"/>
      <family val="2"/>
      <sz val="11"/>
    </font>
    <font>
      <name val="Aptos Narrow"/>
      <family val="2"/>
      <color rgb="FFC00000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sz val="12"/>
      <scheme val="minor"/>
    </font>
    <font>
      <name val="Arial"/>
      <family val="2"/>
      <color indexed="8"/>
      <sz val="10"/>
    </font>
    <font>
      <name val="Aptos Narrow"/>
      <family val="2"/>
      <b val="1"/>
      <color theme="0"/>
      <sz val="14"/>
      <scheme val="minor"/>
    </font>
  </fonts>
  <fills count="5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auto="1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 applyAlignment="1">
      <alignment vertical="top"/>
    </xf>
  </cellStyleXfs>
  <cellXfs count="19">
    <xf numFmtId="0" fontId="0" fillId="0" borderId="0" pivotButton="0" quotePrefix="0" xfId="0"/>
    <xf numFmtId="0" fontId="1" fillId="2" borderId="1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4" fillId="3" borderId="1" pivotButton="0" quotePrefix="0" xfId="0"/>
    <xf numFmtId="0" fontId="2" fillId="3" borderId="1" pivotButton="0" quotePrefix="0" xfId="1"/>
    <xf numFmtId="0" fontId="4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right"/>
    </xf>
    <xf numFmtId="0" fontId="0" fillId="4" borderId="1" pivotButton="0" quotePrefix="0" xfId="0"/>
    <xf numFmtId="0" fontId="4" fillId="4" borderId="1" pivotButton="0" quotePrefix="0" xfId="0"/>
    <xf numFmtId="0" fontId="2" fillId="4" borderId="1" pivotButton="0" quotePrefix="0" xfId="1"/>
    <xf numFmtId="0" fontId="4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right"/>
    </xf>
    <xf numFmtId="0" fontId="1" fillId="2" borderId="2" applyAlignment="1" pivotButton="0" quotePrefix="0" xfId="0">
      <alignment horizontal="left"/>
    </xf>
    <xf numFmtId="0" fontId="0" fillId="0" borderId="0" applyAlignment="1" pivotButton="0" quotePrefix="0" xfId="0">
      <alignment horizontal="left"/>
    </xf>
  </cellXfs>
  <cellStyles count="3">
    <cellStyle name="Normal" xfId="0" builtinId="0"/>
    <cellStyle name="Normal 2" xfId="1"/>
    <cellStyle name="Normal 3" xfId="2"/>
  </cellStyles>
  <dxfs count="2">
    <dxf>
      <fill>
        <patternFill patternType="solid">
          <bgColor rgb="FFE7E7F7"/>
        </patternFill>
      </fill>
    </dxf>
    <dxf>
      <font>
        <name val="Segoe UI"/>
        <b val="1"/>
        <color rgb="FFFFFFFF"/>
        <sz val="11"/>
      </font>
      <fill>
        <patternFill patternType="solid">
          <fgColor rgb="FF5B5FC7"/>
          <bgColor rgb="FF5B5FC7"/>
        </patternFill>
      </fill>
      <border>
        <bottom style="thin">
          <color auto="1"/>
        </bottom>
      </border>
    </dxf>
  </dxfs>
  <tableStyles count="1" defaultTableStyle="TableStyleMedium2" defaultPivotStyle="PivotStyleLight16">
    <tableStyle name="Assignments Export" pivot="0" count="2">
      <tableStyleElement type="headerRow" dxfId="1"/>
      <tableStyleElement type="first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tabSelected="1" zoomScaleNormal="100" workbookViewId="0">
      <selection activeCell="A1" sqref="A1:H1"/>
    </sheetView>
  </sheetViews>
  <sheetFormatPr baseColWidth="8" defaultColWidth="62.28515625" defaultRowHeight="15"/>
  <cols>
    <col width="6.140625" customWidth="1" style="5" min="1" max="1"/>
    <col width="39.5703125" bestFit="1" customWidth="1" style="5" min="2" max="2"/>
    <col width="6.140625" bestFit="1" customWidth="1" style="5" min="3" max="6"/>
    <col width="8.85546875" customWidth="1" style="5" min="7" max="7"/>
    <col width="28.7109375" customWidth="1" style="5" min="8" max="8"/>
    <col width="19.28515625" bestFit="1" customWidth="1" style="5" min="9" max="9"/>
    <col width="17.140625" customWidth="1" style="5" min="10" max="10"/>
  </cols>
  <sheetData>
    <row r="1" ht="18.75" customHeight="1" s="5">
      <c r="A1" s="17" t="inlineStr">
        <is>
          <t>Correção de Prova 2 - 2026/1</t>
        </is>
      </c>
      <c r="I1" s="7" t="inlineStr">
        <is>
          <t>Média da turma:</t>
        </is>
      </c>
      <c r="J1" s="7">
        <f>TRUNC(AVERAGE(G3:G30))</f>
        <v/>
      </c>
    </row>
    <row r="2">
      <c r="A2" s="1" t="inlineStr">
        <is>
          <t>Matrícula</t>
        </is>
      </c>
      <c r="B2" s="1" t="inlineStr">
        <is>
          <t>Nome</t>
        </is>
      </c>
      <c r="C2" s="1" t="inlineStr">
        <is>
          <t>Q1</t>
        </is>
      </c>
      <c r="D2" s="1" t="inlineStr">
        <is>
          <t>Q2</t>
        </is>
      </c>
      <c r="E2" s="1" t="inlineStr">
        <is>
          <t>Q3</t>
        </is>
      </c>
      <c r="F2" s="1" t="inlineStr">
        <is>
          <t>Q4</t>
        </is>
      </c>
      <c r="G2" s="1" t="inlineStr">
        <is>
          <t>Total</t>
        </is>
      </c>
      <c r="H2" s="2" t="inlineStr">
        <is>
          <t>Comentários</t>
        </is>
      </c>
    </row>
    <row r="3" ht="16.5" customHeight="1" s="5">
      <c r="A3" s="8" t="n">
        <v>9891</v>
      </c>
      <c r="B3" s="9" t="inlineStr">
        <is>
          <t>Antonio Brito De Araujo</t>
        </is>
      </c>
      <c r="C3" s="10" t="n">
        <v>1</v>
      </c>
      <c r="D3" s="10" t="n">
        <v>45</v>
      </c>
      <c r="E3" s="10" t="n">
        <v>10</v>
      </c>
      <c r="F3" s="10" t="n">
        <v>1</v>
      </c>
      <c r="G3" s="11" t="n">
        <v>14.25</v>
      </c>
      <c r="H3" s="12" t="inlineStr">
        <is>
          <t>Q1: Estrutura incompleta (Máx 10) | Q1: Apenas estrutura base (1 ponto) || Q2: Repetições/lógica leve incorreta (-5) || Q3: Estrutura incompleta (Máx 10) || Q4: Estrutura incompleta (Máx 10) | Q4: Apenas estrutura base (1 ponto)</t>
        </is>
      </c>
    </row>
    <row r="4" ht="16.5" customHeight="1" s="5">
      <c r="A4" s="8" t="n">
        <v>2284</v>
      </c>
      <c r="B4" s="9" t="inlineStr">
        <is>
          <t>Arthur Faria de Souza</t>
        </is>
      </c>
      <c r="C4" s="10" t="n">
        <v>45</v>
      </c>
      <c r="D4" s="10" t="n">
        <v>100</v>
      </c>
      <c r="E4" s="10" t="n">
        <v>100</v>
      </c>
      <c r="F4" s="10" t="n">
        <v>40</v>
      </c>
      <c r="G4" s="11" t="n">
        <v>71.25</v>
      </c>
      <c r="H4" s="12" t="inlineStr">
        <is>
          <t>Q1: Repetições/lógica leve incorreta (-5) || Q4: Saída diferente do esperado/faltante (-10)</t>
        </is>
      </c>
    </row>
    <row r="5" ht="16.5" customHeight="1" s="5">
      <c r="A5" s="8" t="n">
        <v>2392</v>
      </c>
      <c r="B5" s="9" t="inlineStr">
        <is>
          <t>Davi Reis Pivoto Dias</t>
        </is>
      </c>
      <c r="C5" s="10" t="n">
        <v>100</v>
      </c>
      <c r="D5" s="10" t="n">
        <v>100</v>
      </c>
      <c r="E5" s="10" t="n">
        <v>100</v>
      </c>
      <c r="F5" s="10" t="n">
        <v>100</v>
      </c>
      <c r="G5" s="11" t="n">
        <v>100</v>
      </c>
      <c r="H5" s="12" t="inlineStr">
        <is>
          <t>Correto</t>
        </is>
      </c>
    </row>
    <row r="6" ht="16.5" customHeight="1" s="5">
      <c r="A6" s="8" t="n">
        <v>2445</v>
      </c>
      <c r="B6" s="9" t="inlineStr">
        <is>
          <t>Everton Alves Corrêa</t>
        </is>
      </c>
      <c r="C6" s="10" t="n">
        <v>50</v>
      </c>
      <c r="D6" s="10" t="n">
        <v>50</v>
      </c>
      <c r="E6" s="10" t="n">
        <v>10</v>
      </c>
      <c r="F6" s="10" t="n">
        <v>10</v>
      </c>
      <c r="G6" s="11" t="n">
        <v>30</v>
      </c>
      <c r="H6" s="13" t="inlineStr">
        <is>
          <t>Q1: Testes não rodaram mas possui lógica || Q2: Testes não rodaram mas possui lógica || Q3: Estrutura incompleta (Máx 10) || Q4: Estrutura incompleta (Máx 10)</t>
        </is>
      </c>
    </row>
    <row r="7" ht="16.5" customHeight="1" s="5">
      <c r="A7" s="8" t="n">
        <v>237</v>
      </c>
      <c r="B7" s="9" t="inlineStr">
        <is>
          <t>Gabriel Filadelfo Teles</t>
        </is>
      </c>
      <c r="C7" s="10" t="n">
        <v>50</v>
      </c>
      <c r="D7" s="10" t="n">
        <v>45</v>
      </c>
      <c r="E7" s="10" t="n">
        <v>10</v>
      </c>
      <c r="F7" s="10" t="n">
        <v>40</v>
      </c>
      <c r="G7" s="11" t="n">
        <v>36.25</v>
      </c>
      <c r="H7" s="13" t="inlineStr">
        <is>
          <t>Q1: Testes não rodaram mas possui lógica || Q2: Repetições/lógica leve incorreta (-5) || Q3: Estrutura incompleta (Máx 10) || Q4: Saída diferente do esperado/faltante (-10)</t>
        </is>
      </c>
    </row>
    <row r="8" ht="16.5" customHeight="1" s="5">
      <c r="A8" s="8" t="n">
        <v>890</v>
      </c>
      <c r="B8" s="9" t="inlineStr">
        <is>
          <t>Gabriel Ribeiro da Silva</t>
        </is>
      </c>
      <c r="C8" s="10" t="n"/>
      <c r="D8" s="10" t="n"/>
      <c r="E8" s="10" t="n">
        <v>90</v>
      </c>
      <c r="F8" s="10" t="n">
        <v>20</v>
      </c>
      <c r="G8" s="11" t="n">
        <v>27.5</v>
      </c>
      <c r="H8" s="13" t="inlineStr">
        <is>
          <t>Q3: Erro de sintaxe (-10) || Q4: Testes não rodaram mas possui lógica | Q4: Implementação não faz sentido diante da programação (Máx 20)</t>
        </is>
      </c>
    </row>
    <row r="9" ht="16.5" customHeight="1" s="5">
      <c r="A9" s="8" t="n">
        <v>2387</v>
      </c>
      <c r="B9" s="9" t="inlineStr">
        <is>
          <t>Guilherme Thompson Costa Rocha</t>
        </is>
      </c>
      <c r="C9" s="10" t="n">
        <v>10</v>
      </c>
      <c r="D9" s="10" t="n">
        <v>45</v>
      </c>
      <c r="E9" s="10" t="n">
        <v>10</v>
      </c>
      <c r="F9" s="10" t="n">
        <v>50</v>
      </c>
      <c r="G9" s="11" t="n">
        <v>28.75</v>
      </c>
      <c r="H9" s="12" t="inlineStr">
        <is>
          <t>Q1: Estrutura incompleta (Máx 10) || Q2: Repetições/lógica leve incorreta (-5) || Q3: Estrutura incompleta (Máx 10) || Q4: Testes não rodaram mas possui lógica</t>
        </is>
      </c>
    </row>
    <row r="10" ht="16.5" customHeight="1" s="5">
      <c r="A10" s="8" t="n">
        <v>2383</v>
      </c>
      <c r="B10" s="9" t="inlineStr">
        <is>
          <t>Gustavo Carvalho Iglesias Palmas</t>
        </is>
      </c>
      <c r="C10" s="10" t="n"/>
      <c r="D10" s="10" t="n"/>
      <c r="E10" s="10" t="n"/>
      <c r="F10" s="10" t="n"/>
      <c r="G10" s="11" t="n">
        <v>0</v>
      </c>
      <c r="H10" s="12" t="inlineStr">
        <is>
          <t>Correto</t>
        </is>
      </c>
    </row>
    <row r="11" ht="16.5" customFormat="1" customHeight="1" s="6">
      <c r="A11" s="8" t="n">
        <v>9797</v>
      </c>
      <c r="B11" s="9" t="inlineStr">
        <is>
          <t>Hellen Graziely Rodrigues Pereira</t>
        </is>
      </c>
      <c r="C11" s="10" t="n">
        <v>10</v>
      </c>
      <c r="D11" s="10" t="n">
        <v>20</v>
      </c>
      <c r="E11" s="10" t="n">
        <v>40</v>
      </c>
      <c r="F11" s="10" t="n">
        <v>90</v>
      </c>
      <c r="G11" s="11" t="n">
        <v>40</v>
      </c>
      <c r="H11" s="12" t="inlineStr">
        <is>
          <t>Q1: Estrutura incompleta (Máx 10) || Q2: Não faz sentido/incompleto (Máx 20) || Q3: Saída diferente do esperado/faltante (-10) || Q4: Erro de sintaxe (-10)</t>
        </is>
      </c>
    </row>
    <row r="12" ht="16.5" customHeight="1" s="5">
      <c r="A12" s="8" t="n">
        <v>246</v>
      </c>
      <c r="B12" s="9" t="inlineStr">
        <is>
          <t>Ivo Figueiredo Ferreira Pereira</t>
        </is>
      </c>
      <c r="C12" s="10" t="n">
        <v>45</v>
      </c>
      <c r="D12" s="10" t="n">
        <v>50</v>
      </c>
      <c r="E12" s="10" t="n">
        <v>100</v>
      </c>
      <c r="F12" s="10" t="n"/>
      <c r="G12" s="11" t="n">
        <v>48.75</v>
      </c>
      <c r="H12" s="12" t="inlineStr">
        <is>
          <t>Q1: Repetições/lógica leve incorreta (-5) || Q2: Testes não rodaram mas possui lógica</t>
        </is>
      </c>
    </row>
    <row r="13" ht="16.5" customFormat="1" customHeight="1" s="6">
      <c r="A13" s="8" t="n">
        <v>2398</v>
      </c>
      <c r="B13" s="9" t="inlineStr">
        <is>
          <t>João Lucas Oliveira Costa</t>
        </is>
      </c>
      <c r="C13" s="10" t="n">
        <v>10</v>
      </c>
      <c r="D13" s="10" t="n">
        <v>50</v>
      </c>
      <c r="E13" s="10" t="n">
        <v>40</v>
      </c>
      <c r="F13" s="10" t="n">
        <v>50</v>
      </c>
      <c r="G13" s="11" t="n">
        <v>37.5</v>
      </c>
      <c r="H13" s="12" t="inlineStr">
        <is>
          <t>Q1: Estrutura incompleta (Máx 10) || Q2: Testes não rodaram mas possui lógica || Q3: Saída diferente do esperado/faltante (-10) || Q4: Testes não rodaram mas possui lógica</t>
        </is>
      </c>
    </row>
    <row r="14" ht="16.5" customHeight="1" s="5">
      <c r="A14" s="13" t="n">
        <v>853</v>
      </c>
      <c r="B14" s="14" t="inlineStr">
        <is>
          <t>João Pedro Chiachio de Paiva</t>
        </is>
      </c>
      <c r="C14" s="15" t="n">
        <v>45</v>
      </c>
      <c r="D14" s="15" t="n">
        <v>50</v>
      </c>
      <c r="E14" s="15" t="n">
        <v>100</v>
      </c>
      <c r="F14" s="15" t="n">
        <v>90</v>
      </c>
      <c r="G14" s="16" t="n">
        <v>71.25</v>
      </c>
      <c r="H14" s="12" t="inlineStr">
        <is>
          <t>Q1: Repetições/lógica leve incorreta (-5) || Q2: Testes não rodaram mas possui lógica || Q4: Erro de sintaxe (-10)</t>
        </is>
      </c>
    </row>
    <row r="15" ht="16.5" customFormat="1" customHeight="1" s="6">
      <c r="A15" s="13" t="n">
        <v>373</v>
      </c>
      <c r="B15" s="14" t="inlineStr">
        <is>
          <t>João Vitor Veiga Maciel Gomes</t>
        </is>
      </c>
      <c r="C15" s="15" t="n">
        <v>45</v>
      </c>
      <c r="D15" s="15" t="n">
        <v>45</v>
      </c>
      <c r="E15" s="15" t="n">
        <v>100</v>
      </c>
      <c r="F15" s="15" t="n">
        <v>40</v>
      </c>
      <c r="G15" s="16" t="n">
        <v>57.5</v>
      </c>
      <c r="H15" s="13" t="inlineStr">
        <is>
          <t>Q1: Repetições/lógica leve incorreta (-5) || Q2: Repetições/lógica leve incorreta (-5) || Q4: Saída diferente do esperado/faltante (-10)</t>
        </is>
      </c>
    </row>
    <row r="16" ht="16.5" customHeight="1" s="5">
      <c r="A16" s="13" t="n">
        <v>871</v>
      </c>
      <c r="B16" s="14" t="inlineStr">
        <is>
          <t>Juan Leal de Oliveira</t>
        </is>
      </c>
      <c r="C16" s="15" t="n">
        <v>90</v>
      </c>
      <c r="D16" s="15" t="n">
        <v>90</v>
      </c>
      <c r="E16" s="15" t="n">
        <v>40</v>
      </c>
      <c r="F16" s="15" t="n"/>
      <c r="G16" s="16" t="n">
        <v>55</v>
      </c>
      <c r="H16" s="12" t="inlineStr">
        <is>
          <t>Q1: Erro de sintaxe (-10) || Q2: Erro de sintaxe (-10) || Q3: Saída diferente do esperado/faltante (-10)</t>
        </is>
      </c>
    </row>
    <row r="17" ht="16.5" customHeight="1" s="5">
      <c r="A17" s="13" t="n">
        <v>239</v>
      </c>
      <c r="B17" s="14" t="inlineStr">
        <is>
          <t>Júlia Azevedo Vilela Ernesto</t>
        </is>
      </c>
      <c r="C17" s="15" t="n"/>
      <c r="D17" s="15" t="n"/>
      <c r="E17" s="15" t="n"/>
      <c r="F17" s="15" t="n"/>
      <c r="G17" s="16" t="n">
        <v>0</v>
      </c>
      <c r="H17" s="13" t="inlineStr">
        <is>
          <t>Correto</t>
        </is>
      </c>
    </row>
    <row r="18" ht="16.5" customHeight="1" s="5">
      <c r="A18" s="13" t="n">
        <v>243</v>
      </c>
      <c r="B18" s="14" t="inlineStr">
        <is>
          <t>Julio Vinicius Borges</t>
        </is>
      </c>
      <c r="C18" s="15" t="n">
        <v>50</v>
      </c>
      <c r="D18" s="15" t="n">
        <v>100</v>
      </c>
      <c r="E18" s="15" t="n">
        <v>100</v>
      </c>
      <c r="F18" s="15" t="n">
        <v>10</v>
      </c>
      <c r="G18" s="16" t="n">
        <v>65</v>
      </c>
      <c r="H18" s="12" t="inlineStr">
        <is>
          <t>Q1: Testes não rodaram mas possui lógica || Q4: Estrutura incompleta (Máx 10)</t>
        </is>
      </c>
    </row>
    <row r="19" ht="16.5" customHeight="1" s="5">
      <c r="A19" s="13" t="n">
        <v>2385</v>
      </c>
      <c r="B19" s="14" t="inlineStr">
        <is>
          <t>Kayky Walax Carvalho Morais de Araujo</t>
        </is>
      </c>
      <c r="C19" s="15" t="n">
        <v>100</v>
      </c>
      <c r="D19" s="15" t="n">
        <v>100</v>
      </c>
      <c r="E19" s="15" t="n">
        <v>100</v>
      </c>
      <c r="F19" s="15" t="n">
        <v>50</v>
      </c>
      <c r="G19" s="16" t="n">
        <v>87.5</v>
      </c>
      <c r="H19" s="12" t="inlineStr">
        <is>
          <t>Q4: Testes não rodaram mas possui lógica</t>
        </is>
      </c>
    </row>
    <row r="20" ht="16.5" customHeight="1" s="5">
      <c r="A20" s="13" t="n">
        <v>236</v>
      </c>
      <c r="B20" s="14" t="inlineStr">
        <is>
          <t>Laura Souza Pivoto</t>
        </is>
      </c>
      <c r="C20" s="15" t="n">
        <v>50</v>
      </c>
      <c r="D20" s="15" t="n">
        <v>50</v>
      </c>
      <c r="E20" s="15" t="n">
        <v>10</v>
      </c>
      <c r="F20" s="15" t="n">
        <v>50</v>
      </c>
      <c r="G20" s="16" t="n">
        <v>40</v>
      </c>
      <c r="H20" s="12" t="inlineStr">
        <is>
          <t>Q1: Testes não rodaram mas possui lógica || Q2: Testes não rodaram mas possui lógica || Q3: Estrutura incompleta (Máx 10) || Q4: Testes não rodaram mas possui lógica</t>
        </is>
      </c>
    </row>
    <row r="21" ht="16.5" customHeight="1" s="5">
      <c r="A21" s="13" t="n">
        <v>1120</v>
      </c>
      <c r="B21" s="14" t="inlineStr">
        <is>
          <t>Letícia da Silva Rodrigues</t>
        </is>
      </c>
      <c r="C21" s="15" t="n">
        <v>45</v>
      </c>
      <c r="D21" s="15" t="n">
        <v>45</v>
      </c>
      <c r="E21" s="15" t="n">
        <v>100</v>
      </c>
      <c r="F21" s="15" t="n">
        <v>40</v>
      </c>
      <c r="G21" s="16" t="n">
        <v>57.5</v>
      </c>
      <c r="H21" s="13" t="inlineStr">
        <is>
          <t>Q1: Repetições/lógica leve incorreta (-5) || Q2: Repetições/lógica leve incorreta (-5) || Q4: Saída diferente do esperado/faltante (-10)</t>
        </is>
      </c>
    </row>
    <row r="22" ht="16.5" customHeight="1" s="5">
      <c r="A22" s="13" t="n">
        <v>868</v>
      </c>
      <c r="B22" s="14" t="inlineStr">
        <is>
          <t>Maria Júlia Emiliano da Silva</t>
        </is>
      </c>
      <c r="C22" s="15" t="n">
        <v>45</v>
      </c>
      <c r="D22" s="15" t="n">
        <v>20</v>
      </c>
      <c r="E22" s="15" t="n">
        <v>40</v>
      </c>
      <c r="F22" s="15" t="n">
        <v>40</v>
      </c>
      <c r="G22" s="16" t="n">
        <v>36.25</v>
      </c>
      <c r="H22" s="12" t="inlineStr">
        <is>
          <t>Q1: Repetições/lógica leve incorreta (-5) || Q2: Lógica matemática implementada com erro (-30) || Q3: Saída diferente do esperado/faltante (-10) || Q4: Saída diferente do esperado/faltante (-10)</t>
        </is>
      </c>
    </row>
    <row r="23" ht="16.5" customHeight="1" s="5">
      <c r="A23" s="13" t="n">
        <v>212</v>
      </c>
      <c r="B23" s="14" t="inlineStr">
        <is>
          <t>Márlon Robert Mota Rosa</t>
        </is>
      </c>
      <c r="C23" s="15" t="n">
        <v>100</v>
      </c>
      <c r="D23" s="15" t="n">
        <v>100</v>
      </c>
      <c r="E23" s="15" t="n">
        <v>100</v>
      </c>
      <c r="F23" s="15" t="n">
        <v>40</v>
      </c>
      <c r="G23" s="16" t="n">
        <v>85</v>
      </c>
      <c r="H23" s="12" t="inlineStr">
        <is>
          <t>Q4: Saída diferente do esperado/faltante (-10)</t>
        </is>
      </c>
    </row>
    <row r="24" ht="16.5" customHeight="1" s="5">
      <c r="A24" s="13" t="n">
        <v>2371</v>
      </c>
      <c r="B24" s="14" t="inlineStr">
        <is>
          <t>Matheus de Souza Guerzoni Ribeiro</t>
        </is>
      </c>
      <c r="C24" s="15" t="n">
        <v>100</v>
      </c>
      <c r="D24" s="15" t="n">
        <v>100</v>
      </c>
      <c r="E24" s="15" t="n">
        <v>100</v>
      </c>
      <c r="F24" s="15" t="n">
        <v>100</v>
      </c>
      <c r="G24" s="16" t="n">
        <v>100</v>
      </c>
      <c r="H24" s="12" t="inlineStr">
        <is>
          <t>Correto</t>
        </is>
      </c>
    </row>
    <row r="25" ht="16.5" customHeight="1" s="5">
      <c r="A25" s="13" t="n">
        <v>234</v>
      </c>
      <c r="B25" s="14" t="inlineStr">
        <is>
          <t>Patrick Vilela Martins de Oliveira</t>
        </is>
      </c>
      <c r="C25" s="15" t="n">
        <v>100</v>
      </c>
      <c r="D25" s="15" t="n">
        <v>100</v>
      </c>
      <c r="E25" s="15" t="n">
        <v>40</v>
      </c>
      <c r="F25" s="15" t="n">
        <v>90</v>
      </c>
      <c r="G25" s="16" t="n">
        <v>82.5</v>
      </c>
      <c r="H25" s="12" t="inlineStr">
        <is>
          <t>Q3: Saída diferente do esperado/faltante (-10) || Q4: Erro de sintaxe (-10)</t>
        </is>
      </c>
    </row>
    <row r="26" ht="16.5" customHeight="1" s="5">
      <c r="A26" s="13" t="n">
        <v>2373</v>
      </c>
      <c r="B26" s="14" t="inlineStr">
        <is>
          <t>Pedro de Mello Ventura</t>
        </is>
      </c>
      <c r="C26" s="15" t="n">
        <v>100</v>
      </c>
      <c r="D26" s="15" t="n">
        <v>100</v>
      </c>
      <c r="E26" s="15" t="n">
        <v>100</v>
      </c>
      <c r="F26" s="15" t="n">
        <v>50</v>
      </c>
      <c r="G26" s="16" t="n">
        <v>87.5</v>
      </c>
      <c r="H26" s="12" t="inlineStr">
        <is>
          <t>Q4: Testes não rodaram mas possui lógica</t>
        </is>
      </c>
    </row>
    <row r="27" ht="16.5" customFormat="1" customHeight="1" s="6">
      <c r="A27" s="13" t="n">
        <v>9890</v>
      </c>
      <c r="B27" s="14" t="inlineStr">
        <is>
          <t>Raphael Augustto Pivoto Siécola</t>
        </is>
      </c>
      <c r="C27" s="15" t="n">
        <v>100</v>
      </c>
      <c r="D27" s="15" t="n">
        <v>100</v>
      </c>
      <c r="E27" s="15" t="n">
        <v>100</v>
      </c>
      <c r="F27" s="15" t="n">
        <v>20</v>
      </c>
      <c r="G27" s="16" t="n">
        <v>80</v>
      </c>
      <c r="H27" s="12" t="inlineStr">
        <is>
          <t>Q4: Implementação não faz sentido diante da programação (Máx 20)</t>
        </is>
      </c>
    </row>
    <row r="28" ht="16.5" customHeight="1" s="5">
      <c r="A28" s="8" t="n">
        <v>870</v>
      </c>
      <c r="B28" s="9" t="inlineStr">
        <is>
          <t>Sabrina Ferreira de Souza</t>
        </is>
      </c>
      <c r="C28" s="10" t="n">
        <v>100</v>
      </c>
      <c r="D28" s="10" t="n">
        <v>100</v>
      </c>
      <c r="E28" s="10" t="n">
        <v>100</v>
      </c>
      <c r="F28" s="10" t="n">
        <v>10</v>
      </c>
      <c r="G28" s="11" t="n">
        <v>77.5</v>
      </c>
      <c r="H28" s="12" t="inlineStr">
        <is>
          <t>Q4: Estrutura incompleta (Máx 10)</t>
        </is>
      </c>
    </row>
    <row r="29" ht="16.5" customFormat="1" customHeight="1" s="6">
      <c r="A29" s="13" t="n">
        <v>2377</v>
      </c>
      <c r="B29" s="14" t="inlineStr">
        <is>
          <t>Samuel de Jesus Pereira</t>
        </is>
      </c>
      <c r="C29" s="15" t="n">
        <v>100</v>
      </c>
      <c r="D29" s="15" t="n">
        <v>100</v>
      </c>
      <c r="E29" s="15" t="n">
        <v>100</v>
      </c>
      <c r="F29" s="15" t="n">
        <v>100</v>
      </c>
      <c r="G29" s="16" t="n">
        <v>100</v>
      </c>
      <c r="H29" s="13" t="inlineStr">
        <is>
          <t>Correto</t>
        </is>
      </c>
    </row>
    <row r="30" ht="16.5" customHeight="1" s="5">
      <c r="A30" s="8" t="n">
        <v>2393</v>
      </c>
      <c r="B30" s="9" t="inlineStr">
        <is>
          <t>Samuel Farias Santos</t>
        </is>
      </c>
      <c r="C30" s="10" t="n">
        <v>45</v>
      </c>
      <c r="D30" s="10" t="n">
        <v>100</v>
      </c>
      <c r="E30" s="10" t="n">
        <v>50</v>
      </c>
      <c r="F30" s="10" t="n">
        <v>10</v>
      </c>
      <c r="G30" s="11" t="n">
        <v>51.25</v>
      </c>
      <c r="H30" s="13" t="inlineStr">
        <is>
          <t>Q1: Repetições/lógica leve incorreta (-5) || Q3: Testes não rodaram mas possui lógica || Q4: Estrutura incompleta (Máx 10)</t>
        </is>
      </c>
    </row>
  </sheetData>
  <autoFilter ref="A2:H30">
    <sortState ref="A3:H30">
      <sortCondition ref="B2:B30"/>
    </sortState>
  </autoFilter>
  <mergeCells count="1">
    <mergeCell ref="A1:H1"/>
  </mergeCells>
  <conditionalFormatting sqref="C3:F30">
    <cfRule type="dataBar" priority="5">
      <dataBar>
        <cfvo type="num" val="0"/>
        <cfvo type="num" val="100"/>
        <color theme="0" tint="-0.3499862666707358"/>
      </dataBar>
    </cfRule>
  </conditionalFormatting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Ruan Patrick</dc:creator>
  <dcterms:created xsi:type="dcterms:W3CDTF">2026-03-20T17:09:54Z</dcterms:created>
  <dcterms:modified xsi:type="dcterms:W3CDTF">2026-04-26T23:22:54Z</dcterms:modified>
  <cp:lastModifiedBy>Ruan Patrick</cp:lastModifiedBy>
</cp:coreProperties>
</file>